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lsl\OneDrive\Skrivebord\"/>
    </mc:Choice>
  </mc:AlternateContent>
  <xr:revisionPtr revIDLastSave="0" documentId="8_{CF1B20F6-837A-416F-8E03-26A25F01B37D}" xr6:coauthVersionLast="47" xr6:coauthVersionMax="47" xr10:uidLastSave="{00000000-0000-0000-0000-000000000000}"/>
  <bookViews>
    <workbookView xWindow="2652" yWindow="2652" windowWidth="17280" windowHeight="8964" xr2:uid="{00000000-000D-0000-FFFF-FFFF00000000}"/>
  </bookViews>
  <sheets>
    <sheet name="files" sheetId="1" r:id="rId1"/>
    <sheet name="summary_per_sample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<sst xmlns="http://schemas.openxmlformats.org/spreadsheetml/2006/main" count="272" uniqueCount="153">
  <si>
    <t>file</t>
  </si>
  <si>
    <t>full_path</t>
  </si>
  <si>
    <t>sample_id</t>
  </si>
  <si>
    <t>CGG-1-016411-sed-AP21022022-AP24032022-3-S-E_S18_L001_R1_001.fastq.gz</t>
  </si>
  <si>
    <t>CGG-1-016407-sed-AP21022022-AP24032022-4-S-E_S19_L001_R1_001.fastq.gz</t>
  </si>
  <si>
    <t>CGG-1-016397-sed-AP01032022-AP24032022-5B-S-E_S26_L001_R1_001.fastq.gz</t>
  </si>
  <si>
    <t>CGG-1-016404-sed-AP21022022-AP24032022-5-S-E_S20_L001_R1_001.fastq.gz</t>
  </si>
  <si>
    <t>CGG-1-016411-sed-AP21022022-AP24032022-3-S-E_S18_L001_R2_001.fastq.gz</t>
  </si>
  <si>
    <t>CGG-1-016394-sed-AP01032022-AP24032022-3B-S-E_S24_L001_R2_001.fastq.gz</t>
  </si>
  <si>
    <t>CGG-1-016402-sed-AP21022022-AP24032022-2-S-E_S17_L001_R1_001.fastq.gz</t>
  </si>
  <si>
    <t>CGG-1-016402-sed-AP21022022-AP24032022-2-S-E_S17_L001_R2_001.fastq.gz</t>
  </si>
  <si>
    <t>CGG-1-016395-sed-AP01032022-AP24032022-4B-S-E_S25_L001_R2_001.fastq.gz</t>
  </si>
  <si>
    <t>CGG-1-016396-sed-AP21022022-AP24032022-1-S-E_S16_L001_R2_001.fastq.gz</t>
  </si>
  <si>
    <t>CGG-1-016392-sed-AP01032022-AP24032022-1B-S-E_S22_L001_R2_001.fastq.gz</t>
  </si>
  <si>
    <t>CGG-1-016407-sed-AP21022022-AP24032022-4-S-E_S19_L001_R2_001.fastq.gz</t>
  </si>
  <si>
    <t>CGG-1-016396-sed-AP21022022-AP24032022-1-S-E_S16_L001_R1_001.fastq.gz</t>
  </si>
  <si>
    <t>CGG-1-016397-sed-AP01032022-AP24032022-5B-S-E_S26_L001_R2_001.fastq.gz</t>
  </si>
  <si>
    <t>CGG-1-016392-sed-AP01032022-AP24032022-1B-S-E_S22_L001_R1_001.fastq.gz</t>
  </si>
  <si>
    <t>CGG-1-016393-sed-AP01032022-AP24032022-2B-S-E_S23_L001_R2_001.fastq.gz</t>
  </si>
  <si>
    <t>CGG-1-016404-sed-AP21022022-AP24032022-5-S-E_S20_L001_R2_001.fastq.gz</t>
  </si>
  <si>
    <t>CGG-1-016395-sed-AP01032022-AP24032022-4B-S-E_S25_L001_R1_001.fastq.gz</t>
  </si>
  <si>
    <t>CGG-1-016394-sed-AP01032022-AP24032022-3B-S-E_S24_L001_R1_001.fastq.gz</t>
  </si>
  <si>
    <t>CGG-1-016393-sed-AP01032022-AP24032022-2B-S-E_S23_L001_R1_001.fastq.gz</t>
  </si>
  <si>
    <t>LV7009026666-CGG-3-016408-sed-AP03052023-3-S-E_S21_L002_R2_001.fastq.gz</t>
  </si>
  <si>
    <t>LV7009026659-CGG-3-016401-sed-AP09052023-4-S-E_S77_L002_R1_001.fastq.gz</t>
  </si>
  <si>
    <t>LV7009026658-CGG-3-016403-sed-AP09052023-5-S-E_S85_L002_R1_001.fastq.gz</t>
  </si>
  <si>
    <t>LV7009026666-CGG-3-016408-sed-AP03052023-3-S-E_S21_L002_R1_001.fastq.gz</t>
  </si>
  <si>
    <t>LV7009026668-CGG-3-016405-sed-AP03052023-1-S-E_S5_L002_R1_001.fastq.gz</t>
  </si>
  <si>
    <t>LV7009026126-CGG-1-016392-sed-AP01032022-AP24032022-1B-S-E_S52_L002_R1_001.fastq.gz</t>
  </si>
  <si>
    <t>LV7009026125-CGG-1-016394-sed-AP01032022-AP24032022-3B-S-E_S68_L002_R2_001.fastq.gz</t>
  </si>
  <si>
    <t>LV7009026652-CGG-1-016404-sed-AP21022022-AP24032022-5-S-E_S36_L002_R2_001.fastq.gz</t>
  </si>
  <si>
    <t>LV7009026121-CGG-3-016400-sed-AP09052023-3-S-E_S69_L002_R2_001.fastq.gz</t>
  </si>
  <si>
    <t>LV7009026667-CGG-3-016406-sed-AP03052023-2-S-E_S13_L002_R2_001.fastq.gz</t>
  </si>
  <si>
    <t>LV7009026126-CGG-1-016392-sed-AP01032022-AP24032022-1B-S-E_S52_L002_R2_001.fastq.gz</t>
  </si>
  <si>
    <t>LV7009026668-CGG-3-016405-sed-AP03052023-1-S-E_S5_L002_R2_001.fastq.gz</t>
  </si>
  <si>
    <t>LV7009026649-CGG-1-016393-sed-AP01032022-AP24032022-2B-S-E_S60_L002_R1_001.fastq.gz</t>
  </si>
  <si>
    <t>LV7009026652-CGG-1-016404-sed-AP21022022-AP24032022-5-S-E_S36_L002_R1_001.fastq.gz</t>
  </si>
  <si>
    <t>LV7009026662-CGG-3-016398-sed-AP09052023-1-S-E_S53_L002_R2_001.fastq.gz</t>
  </si>
  <si>
    <t>LV7009026665-CGG-3-016409-sed-AP03052023-4-S-E_S29_L002_R1_001.fastq.gz</t>
  </si>
  <si>
    <t>LV7009026105-CGG-1-016402-sed-AP21022022-AP24032022-2-S-E_S12_L002_R2_001.fastq.gz</t>
  </si>
  <si>
    <t>LV7009026656-CGG-1-016396-sed-AP21022022-AP24032022-1-S-E_S4_L002_R2_001.fastq.gz</t>
  </si>
  <si>
    <t>LV7009026665-CGG-3-016409-sed-AP03052023-4-S-E_S29_L002_R2_001.fastq.gz</t>
  </si>
  <si>
    <t>LV7009026656-CGG-1-016396-sed-AP21022022-AP24032022-1-S-E_S4_L002_R1_001.fastq.gz</t>
  </si>
  <si>
    <t>LV7009026662-CGG-3-016398-sed-AP09052023-1-S-E_S53_L002_R1_001.fastq.gz</t>
  </si>
  <si>
    <t>LV7009026125-CGG-1-016394-sed-AP01032022-AP24032022-3B-S-E_S68_L002_R1_001.fastq.gz</t>
  </si>
  <si>
    <t>LV7009026105-CGG-1-016402-sed-AP21022022-AP24032022-2-S-E_S12_L002_R1_001.fastq.gz</t>
  </si>
  <si>
    <t>LV7009026128-CGG-1-016411-sed-AP21022022-AP24032022-3-S-E_S20_L002_R2_001.fastq.gz</t>
  </si>
  <si>
    <t>LV7009026124-CGG-1-016395-sed-AP01032022-AP24032022-4B-S-E_S76_L002_R2_001.fastq.gz</t>
  </si>
  <si>
    <t>LV7009026659-CGG-3-016401-sed-AP09052023-4-S-E_S77_L002_R2_001.fastq.gz</t>
  </si>
  <si>
    <t>LV7009026658-CGG-3-016403-sed-AP09052023-5-S-E_S85_L002_R2_001.fastq.gz</t>
  </si>
  <si>
    <t>LV7009026661-CGG-3-016399-sed-AP09052023-2-S-E_S61_L002_R2_001.fastq.gz</t>
  </si>
  <si>
    <t>LV7009026664-CGG-3-016410-sed-AP03052023-5-S-E_S37_L002_R1_001.fastq.gz</t>
  </si>
  <si>
    <t>LV7009026664-CGG-3-016410-sed-AP03052023-5-S-E_S37_L002_R2_001.fastq.gz</t>
  </si>
  <si>
    <t>LV7009026124-CGG-1-016395-sed-AP01032022-AP24032022-4B-S-E_S76_L002_R1_001.fastq.gz</t>
  </si>
  <si>
    <t>LV7009026123-CGG-1-016397-sed-AP01032022-AP24032022-5B-S-E_S84_L002_R1_001.fastq.gz</t>
  </si>
  <si>
    <t>LV7009026661-CGG-3-016399-sed-AP09052023-2-S-E_S61_L002_R1_001.fastq.gz</t>
  </si>
  <si>
    <t>LV7009026127-CGG-1-016407-sed-AP21022022-AP24032022-4-S-E_S28_L002_R1_001.fastq.gz</t>
  </si>
  <si>
    <t>LV7009026649-CGG-1-016393-sed-AP01032022-AP24032022-2B-S-E_S60_L002_R2_001.fastq.gz</t>
  </si>
  <si>
    <t>LV7009026667-CGG-3-016406-sed-AP03052023-2-S-E_S13_L002_R1_001.fastq.gz</t>
  </si>
  <si>
    <t>LV7009026121-CGG-3-016400-sed-AP09052023-3-S-E_S69_L002_R1_001.fastq.gz</t>
  </si>
  <si>
    <t>LV7009026128-CGG-1-016411-sed-AP21022022-AP24032022-3-S-E_S20_L002_R1_001.fastq.gz</t>
  </si>
  <si>
    <t>LV7009026123-CGG-1-016397-sed-AP01032022-AP24032022-5B-S-E_S84_L002_R2_001.fastq.gz</t>
  </si>
  <si>
    <t>LV7009026127-CGG-1-016407-sed-AP21022022-AP24032022-4-S-E_S28_L002_R2_001.fastq.gz</t>
  </si>
  <si>
    <t>/maps/projects/prohaska/people/vpt968/Data_analysis_revised_data/Original_files/Fastq/221207_A00706_0676_BHMT37DRX2_Ana_V5FW7_DS/CGG-1-016411-sed-AP21022022-AP24032022-3-S-E_S18_L001_R1_001.fastq.gz</t>
  </si>
  <si>
    <t>/maps/projects/prohaska/people/vpt968/Data_analysis_revised_data/Original_files/Fastq/221207_A00706_0676_BHMT37DRX2_Ana_V5FW7_DS/CGG-1-016407-sed-AP21022022-AP24032022-4-S-E_S19_L001_R1_001.fastq.gz</t>
  </si>
  <si>
    <t>/maps/projects/prohaska/people/vpt968/Data_analysis_revised_data/Original_files/Fastq/221207_A00706_0676_BHMT37DRX2_Ana_V5FW7_DS/CGG-1-016397-sed-AP01032022-AP24032022-5B-S-E_S26_L001_R1_001.fastq.gz</t>
  </si>
  <si>
    <t>/maps/projects/prohaska/people/vpt968/Data_analysis_revised_data/Original_files/Fastq/221207_A00706_0676_BHMT37DRX2_Ana_V5FW7_DS/CGG-1-016404-sed-AP21022022-AP24032022-5-S-E_S20_L001_R1_001.fastq.gz</t>
  </si>
  <si>
    <t>/maps/projects/prohaska/people/vpt968/Data_analysis_revised_data/Original_files/Fastq/221207_A00706_0676_BHMT37DRX2_Ana_V5FW7_DS/CGG-1-016411-sed-AP21022022-AP24032022-3-S-E_S18_L001_R2_001.fastq.gz</t>
  </si>
  <si>
    <t>/maps/projects/prohaska/people/vpt968/Data_analysis_revised_data/Original_files/Fastq/221207_A00706_0676_BHMT37DRX2_Ana_V5FW7_DS/CGG-1-016394-sed-AP01032022-AP24032022-3B-S-E_S24_L001_R2_001.fastq.gz</t>
  </si>
  <si>
    <t>/maps/projects/prohaska/people/vpt968/Data_analysis_revised_data/Original_files/Fastq/221207_A00706_0676_BHMT37DRX2_Ana_V5FW7_DS/CGG-1-016402-sed-AP21022022-AP24032022-2-S-E_S17_L001_R1_001.fastq.gz</t>
  </si>
  <si>
    <t>/maps/projects/prohaska/people/vpt968/Data_analysis_revised_data/Original_files/Fastq/221207_A00706_0676_BHMT37DRX2_Ana_V5FW7_DS/CGG-1-016402-sed-AP21022022-AP24032022-2-S-E_S17_L001_R2_001.fastq.gz</t>
  </si>
  <si>
    <t>/maps/projects/prohaska/people/vpt968/Data_analysis_revised_data/Original_files/Fastq/221207_A00706_0676_BHMT37DRX2_Ana_V5FW7_DS/CGG-1-016395-sed-AP01032022-AP24032022-4B-S-E_S25_L001_R2_001.fastq.gz</t>
  </si>
  <si>
    <t>/maps/projects/prohaska/people/vpt968/Data_analysis_revised_data/Original_files/Fastq/221207_A00706_0676_BHMT37DRX2_Ana_V5FW7_DS/CGG-1-016396-sed-AP21022022-AP24032022-1-S-E_S16_L001_R2_001.fastq.gz</t>
  </si>
  <si>
    <t>/maps/projects/prohaska/people/vpt968/Data_analysis_revised_data/Original_files/Fastq/221207_A00706_0676_BHMT37DRX2_Ana_V5FW7_DS/CGG-1-016392-sed-AP01032022-AP24032022-1B-S-E_S22_L001_R2_001.fastq.gz</t>
  </si>
  <si>
    <t>/maps/projects/prohaska/people/vpt968/Data_analysis_revised_data/Original_files/Fastq/221207_A00706_0676_BHMT37DRX2_Ana_V5FW7_DS/CGG-1-016407-sed-AP21022022-AP24032022-4-S-E_S19_L001_R2_001.fastq.gz</t>
  </si>
  <si>
    <t>/maps/projects/prohaska/people/vpt968/Data_analysis_revised_data/Original_files/Fastq/221207_A00706_0676_BHMT37DRX2_Ana_V5FW7_DS/CGG-1-016396-sed-AP21022022-AP24032022-1-S-E_S16_L001_R1_001.fastq.gz</t>
  </si>
  <si>
    <t>/maps/projects/prohaska/people/vpt968/Data_analysis_revised_data/Original_files/Fastq/221207_A00706_0676_BHMT37DRX2_Ana_V5FW7_DS/CGG-1-016397-sed-AP01032022-AP24032022-5B-S-E_S26_L001_R2_001.fastq.gz</t>
  </si>
  <si>
    <t>/maps/projects/prohaska/people/vpt968/Data_analysis_revised_data/Original_files/Fastq/221207_A00706_0676_BHMT37DRX2_Ana_V5FW7_DS/CGG-1-016392-sed-AP01032022-AP24032022-1B-S-E_S22_L001_R1_001.fastq.gz</t>
  </si>
  <si>
    <t>/maps/projects/prohaska/people/vpt968/Data_analysis_revised_data/Original_files/Fastq/221207_A00706_0676_BHMT37DRX2_Ana_V5FW7_DS/CGG-1-016393-sed-AP01032022-AP24032022-2B-S-E_S23_L001_R2_001.fastq.gz</t>
  </si>
  <si>
    <t>/maps/projects/prohaska/people/vpt968/Data_analysis_revised_data/Original_files/Fastq/221207_A00706_0676_BHMT37DRX2_Ana_V5FW7_DS/CGG-1-016404-sed-AP21022022-AP24032022-5-S-E_S20_L001_R2_001.fastq.gz</t>
  </si>
  <si>
    <t>/maps/projects/prohaska/people/vpt968/Data_analysis_revised_data/Original_files/Fastq/221207_A00706_0676_BHMT37DRX2_Ana_V5FW7_DS/CGG-1-016395-sed-AP01032022-AP24032022-4B-S-E_S25_L001_R1_001.fastq.gz</t>
  </si>
  <si>
    <t>/maps/projects/prohaska/people/vpt968/Data_analysis_revised_data/Original_files/Fastq/221207_A00706_0676_BHMT37DRX2_Ana_V5FW7_DS/CGG-1-016394-sed-AP01032022-AP24032022-3B-S-E_S24_L001_R1_001.fastq.gz</t>
  </si>
  <si>
    <t>/maps/projects/prohaska/people/vpt968/Data_analysis_revised_data/Original_files/Fastq/221207_A00706_0676_BHMT37DRX2_Ana_V5FW7_DS/CGG-1-016393-sed-AP01032022-AP24032022-2B-S-E_S23_L001_R1_001.fastq.gz</t>
  </si>
  <si>
    <t>/maps/projects/prohaska/people/vpt968/Data_analysis_revised_data/Original_files/Fastq/231016_A00706_0779_AHNLW2DSX5_589A_SS/LV7009026666-CGG-3-016408-sed-AP03052023-3-S-E_S21_L002_R2_001.fastq.gz</t>
  </si>
  <si>
    <t>/maps/projects/prohaska/people/vpt968/Data_analysis_revised_data/Original_files/Fastq/231016_A00706_0779_AHNLW2DSX5_589A_SS/LV7009026659-CGG-3-016401-sed-AP09052023-4-S-E_S77_L002_R1_001.fastq.gz</t>
  </si>
  <si>
    <t>/maps/projects/prohaska/people/vpt968/Data_analysis_revised_data/Original_files/Fastq/231016_A00706_0779_AHNLW2DSX5_589A_SS/LV7009026658-CGG-3-016403-sed-AP09052023-5-S-E_S85_L002_R1_001.fastq.gz</t>
  </si>
  <si>
    <t>/maps/projects/prohaska/people/vpt968/Data_analysis_revised_data/Original_files/Fastq/231016_A00706_0779_AHNLW2DSX5_589A_SS/LV7009026666-CGG-3-016408-sed-AP03052023-3-S-E_S21_L002_R1_001.fastq.gz</t>
  </si>
  <si>
    <t>/maps/projects/prohaska/people/vpt968/Data_analysis_revised_data/Original_files/Fastq/231016_A00706_0779_AHNLW2DSX5_589A_SS/LV7009026668-CGG-3-016405-sed-AP03052023-1-S-E_S5_L002_R1_001.fastq.gz</t>
  </si>
  <si>
    <t>/maps/projects/prohaska/people/vpt968/Data_analysis_revised_data/Original_files/Fastq/231016_A00706_0779_AHNLW2DSX5_589A_SS/LV7009026126-CGG-1-016392-sed-AP01032022-AP24032022-1B-S-E_S52_L002_R1_001.fastq.gz</t>
  </si>
  <si>
    <t>/maps/projects/prohaska/people/vpt968/Data_analysis_revised_data/Original_files/Fastq/231016_A00706_0779_AHNLW2DSX5_589A_SS/LV7009026125-CGG-1-016394-sed-AP01032022-AP24032022-3B-S-E_S68_L002_R2_001.fastq.gz</t>
  </si>
  <si>
    <t>/maps/projects/prohaska/people/vpt968/Data_analysis_revised_data/Original_files/Fastq/231016_A00706_0779_AHNLW2DSX5_589A_SS/LV7009026652-CGG-1-016404-sed-AP21022022-AP24032022-5-S-E_S36_L002_R2_001.fastq.gz</t>
  </si>
  <si>
    <t>/maps/projects/prohaska/people/vpt968/Data_analysis_revised_data/Original_files/Fastq/231016_A00706_0779_AHNLW2DSX5_589A_SS/LV7009026121-CGG-3-016400-sed-AP09052023-3-S-E_S69_L002_R2_001.fastq.gz</t>
  </si>
  <si>
    <t>/maps/projects/prohaska/people/vpt968/Data_analysis_revised_data/Original_files/Fastq/231016_A00706_0779_AHNLW2DSX5_589A_SS/LV7009026667-CGG-3-016406-sed-AP03052023-2-S-E_S13_L002_R2_001.fastq.gz</t>
  </si>
  <si>
    <t>/maps/projects/prohaska/people/vpt968/Data_analysis_revised_data/Original_files/Fastq/231016_A00706_0779_AHNLW2DSX5_589A_SS/LV7009026126-CGG-1-016392-sed-AP01032022-AP24032022-1B-S-E_S52_L002_R2_001.fastq.gz</t>
  </si>
  <si>
    <t>/maps/projects/prohaska/people/vpt968/Data_analysis_revised_data/Original_files/Fastq/231016_A00706_0779_AHNLW2DSX5_589A_SS/LV7009026668-CGG-3-016405-sed-AP03052023-1-S-E_S5_L002_R2_001.fastq.gz</t>
  </si>
  <si>
    <t>/maps/projects/prohaska/people/vpt968/Data_analysis_revised_data/Original_files/Fastq/231016_A00706_0779_AHNLW2DSX5_589A_SS/LV7009026649-CGG-1-016393-sed-AP01032022-AP24032022-2B-S-E_S60_L002_R1_001.fastq.gz</t>
  </si>
  <si>
    <t>/maps/projects/prohaska/people/vpt968/Data_analysis_revised_data/Original_files/Fastq/231016_A00706_0779_AHNLW2DSX5_589A_SS/LV7009026652-CGG-1-016404-sed-AP21022022-AP24032022-5-S-E_S36_L002_R1_001.fastq.gz</t>
  </si>
  <si>
    <t>/maps/projects/prohaska/people/vpt968/Data_analysis_revised_data/Original_files/Fastq/231016_A00706_0779_AHNLW2DSX5_589A_SS/LV7009026662-CGG-3-016398-sed-AP09052023-1-S-E_S53_L002_R2_001.fastq.gz</t>
  </si>
  <si>
    <t>/maps/projects/prohaska/people/vpt968/Data_analysis_revised_data/Original_files/Fastq/231016_A00706_0779_AHNLW2DSX5_589A_SS/LV7009026665-CGG-3-016409-sed-AP03052023-4-S-E_S29_L002_R1_001.fastq.gz</t>
  </si>
  <si>
    <t>/maps/projects/prohaska/people/vpt968/Data_analysis_revised_data/Original_files/Fastq/231016_A00706_0779_AHNLW2DSX5_589A_SS/LV7009026105-CGG-1-016402-sed-AP21022022-AP24032022-2-S-E_S12_L002_R2_001.fastq.gz</t>
  </si>
  <si>
    <t>/maps/projects/prohaska/people/vpt968/Data_analysis_revised_data/Original_files/Fastq/231016_A00706_0779_AHNLW2DSX5_589A_SS/LV7009026656-CGG-1-016396-sed-AP21022022-AP24032022-1-S-E_S4_L002_R2_001.fastq.gz</t>
  </si>
  <si>
    <t>/maps/projects/prohaska/people/vpt968/Data_analysis_revised_data/Original_files/Fastq/231016_A00706_0779_AHNLW2DSX5_589A_SS/LV7009026665-CGG-3-016409-sed-AP03052023-4-S-E_S29_L002_R2_001.fastq.gz</t>
  </si>
  <si>
    <t>/maps/projects/prohaska/people/vpt968/Data_analysis_revised_data/Original_files/Fastq/231016_A00706_0779_AHNLW2DSX5_589A_SS/LV7009026656-CGG-1-016396-sed-AP21022022-AP24032022-1-S-E_S4_L002_R1_001.fastq.gz</t>
  </si>
  <si>
    <t>/maps/projects/prohaska/people/vpt968/Data_analysis_revised_data/Original_files/Fastq/231016_A00706_0779_AHNLW2DSX5_589A_SS/LV7009026662-CGG-3-016398-sed-AP09052023-1-S-E_S53_L002_R1_001.fastq.gz</t>
  </si>
  <si>
    <t>/maps/projects/prohaska/people/vpt968/Data_analysis_revised_data/Original_files/Fastq/231016_A00706_0779_AHNLW2DSX5_589A_SS/LV7009026125-CGG-1-016394-sed-AP01032022-AP24032022-3B-S-E_S68_L002_R1_001.fastq.gz</t>
  </si>
  <si>
    <t>/maps/projects/prohaska/people/vpt968/Data_analysis_revised_data/Original_files/Fastq/231016_A00706_0779_AHNLW2DSX5_589A_SS/LV7009026105-CGG-1-016402-sed-AP21022022-AP24032022-2-S-E_S12_L002_R1_001.fastq.gz</t>
  </si>
  <si>
    <t>/maps/projects/prohaska/people/vpt968/Data_analysis_revised_data/Original_files/Fastq/231016_A00706_0779_AHNLW2DSX5_589A_SS/LV7009026128-CGG-1-016411-sed-AP21022022-AP24032022-3-S-E_S20_L002_R2_001.fastq.gz</t>
  </si>
  <si>
    <t>/maps/projects/prohaska/people/vpt968/Data_analysis_revised_data/Original_files/Fastq/231016_A00706_0779_AHNLW2DSX5_589A_SS/LV7009026124-CGG-1-016395-sed-AP01032022-AP24032022-4B-S-E_S76_L002_R2_001.fastq.gz</t>
  </si>
  <si>
    <t>/maps/projects/prohaska/people/vpt968/Data_analysis_revised_data/Original_files/Fastq/231016_A00706_0779_AHNLW2DSX5_589A_SS/LV7009026659-CGG-3-016401-sed-AP09052023-4-S-E_S77_L002_R2_001.fastq.gz</t>
  </si>
  <si>
    <t>/maps/projects/prohaska/people/vpt968/Data_analysis_revised_data/Original_files/Fastq/231016_A00706_0779_AHNLW2DSX5_589A_SS/LV7009026658-CGG-3-016403-sed-AP09052023-5-S-E_S85_L002_R2_001.fastq.gz</t>
  </si>
  <si>
    <t>/maps/projects/prohaska/people/vpt968/Data_analysis_revised_data/Original_files/Fastq/231016_A00706_0779_AHNLW2DSX5_589A_SS/LV7009026661-CGG-3-016399-sed-AP09052023-2-S-E_S61_L002_R2_001.fastq.gz</t>
  </si>
  <si>
    <t>/maps/projects/prohaska/people/vpt968/Data_analysis_revised_data/Original_files/Fastq/231016_A00706_0779_AHNLW2DSX5_589A_SS/LV7009026664-CGG-3-016410-sed-AP03052023-5-S-E_S37_L002_R1_001.fastq.gz</t>
  </si>
  <si>
    <t>/maps/projects/prohaska/people/vpt968/Data_analysis_revised_data/Original_files/Fastq/231016_A00706_0779_AHNLW2DSX5_589A_SS/LV7009026664-CGG-3-016410-sed-AP03052023-5-S-E_S37_L002_R2_001.fastq.gz</t>
  </si>
  <si>
    <t>/maps/projects/prohaska/people/vpt968/Data_analysis_revised_data/Original_files/Fastq/231016_A00706_0779_AHNLW2DSX5_589A_SS/LV7009026124-CGG-1-016395-sed-AP01032022-AP24032022-4B-S-E_S76_L002_R1_001.fastq.gz</t>
  </si>
  <si>
    <t>/maps/projects/prohaska/people/vpt968/Data_analysis_revised_data/Original_files/Fastq/231016_A00706_0779_AHNLW2DSX5_589A_SS/LV7009026123-CGG-1-016397-sed-AP01032022-AP24032022-5B-S-E_S84_L002_R1_001.fastq.gz</t>
  </si>
  <si>
    <t>/maps/projects/prohaska/people/vpt968/Data_analysis_revised_data/Original_files/Fastq/231016_A00706_0779_AHNLW2DSX5_589A_SS/LV7009026661-CGG-3-016399-sed-AP09052023-2-S-E_S61_L002_R1_001.fastq.gz</t>
  </si>
  <si>
    <t>/maps/projects/prohaska/people/vpt968/Data_analysis_revised_data/Original_files/Fastq/231016_A00706_0779_AHNLW2DSX5_589A_SS/LV7009026127-CGG-1-016407-sed-AP21022022-AP24032022-4-S-E_S28_L002_R1_001.fastq.gz</t>
  </si>
  <si>
    <t>/maps/projects/prohaska/people/vpt968/Data_analysis_revised_data/Original_files/Fastq/231016_A00706_0779_AHNLW2DSX5_589A_SS/LV7009026649-CGG-1-016393-sed-AP01032022-AP24032022-2B-S-E_S60_L002_R2_001.fastq.gz</t>
  </si>
  <si>
    <t>/maps/projects/prohaska/people/vpt968/Data_analysis_revised_data/Original_files/Fastq/231016_A00706_0779_AHNLW2DSX5_589A_SS/LV7009026667-CGG-3-016406-sed-AP03052023-2-S-E_S13_L002_R1_001.fastq.gz</t>
  </si>
  <si>
    <t>/maps/projects/prohaska/people/vpt968/Data_analysis_revised_data/Original_files/Fastq/231016_A00706_0779_AHNLW2DSX5_589A_SS/LV7009026121-CGG-3-016400-sed-AP09052023-3-S-E_S69_L002_R1_001.fastq.gz</t>
  </si>
  <si>
    <t>/maps/projects/prohaska/people/vpt968/Data_analysis_revised_data/Original_files/Fastq/231016_A00706_0779_AHNLW2DSX5_589A_SS/LV7009026128-CGG-1-016411-sed-AP21022022-AP24032022-3-S-E_S20_L002_R1_001.fastq.gz</t>
  </si>
  <si>
    <t>/maps/projects/prohaska/people/vpt968/Data_analysis_revised_data/Original_files/Fastq/231016_A00706_0779_AHNLW2DSX5_589A_SS/LV7009026123-CGG-1-016397-sed-AP01032022-AP24032022-5B-S-E_S84_L002_R2_001.fastq.gz</t>
  </si>
  <si>
    <t>/maps/projects/prohaska/people/vpt968/Data_analysis_revised_data/Original_files/Fastq/231016_A00706_0779_AHNLW2DSX5_589A_SS/LV7009026127-CGG-1-016407-sed-AP21022022-AP24032022-4-S-E_S28_L002_R2_001.fastq.gz</t>
  </si>
  <si>
    <t>CGG-1-016411</t>
  </si>
  <si>
    <t>CGG-1-016407</t>
  </si>
  <si>
    <t>CGG-1-016397</t>
  </si>
  <si>
    <t>CGG-1-016404</t>
  </si>
  <si>
    <t>CGG-1-016394</t>
  </si>
  <si>
    <t>CGG-1-016402</t>
  </si>
  <si>
    <t>CGG-1-016395</t>
  </si>
  <si>
    <t>CGG-1-016396</t>
  </si>
  <si>
    <t>CGG-1-016392</t>
  </si>
  <si>
    <t>CGG-1-016393</t>
  </si>
  <si>
    <t>CGG-3-016408</t>
  </si>
  <si>
    <t>CGG-3-016401</t>
  </si>
  <si>
    <t>CGG-3-016403</t>
  </si>
  <si>
    <t>CGG-3-016405</t>
  </si>
  <si>
    <t>CGG-3-016400</t>
  </si>
  <si>
    <t>CGG-3-016406</t>
  </si>
  <si>
    <t>CGG-3-016398</t>
  </si>
  <si>
    <t>CGG-3-016409</t>
  </si>
  <si>
    <t>CGG-3-016399</t>
  </si>
  <si>
    <t>CGG-3-016410</t>
  </si>
  <si>
    <t>total_reads</t>
  </si>
  <si>
    <t>n_reads</t>
  </si>
  <si>
    <t>Data_type</t>
  </si>
  <si>
    <t xml:space="preserve">DS </t>
  </si>
  <si>
    <t>SS</t>
  </si>
  <si>
    <t>age</t>
  </si>
  <si>
    <t>n_reads_after_QC</t>
  </si>
  <si>
    <t>DS_total</t>
  </si>
  <si>
    <t>SS_total</t>
  </si>
  <si>
    <t>DS+SS_total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</si>
</sst>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J40" sqref="J40"/>
    </sheetView>
  </sheetViews>
  <sheetFormatPr defaultRowHeight="14.4" x14ac:dyDescent="0.3"/>
  <cols>
    <col min="1" max="1" width="81.21875" bestFit="1" customWidth="1"/>
    <col min="3" max="3" width="12.88671875" bestFit="1" customWidth="1"/>
    <col min="4" max="4" width="9" bestFit="1" customWidth="1"/>
    <col min="5" max="5" width="15.77734375" bestFit="1" customWidth="1"/>
    <col min="7" max="7" width="16.21875" bestFit="1" customWidth="1"/>
    <col min="8" max="8" width="11" bestFit="1" customWidth="1"/>
    <col min="9" max="10" width="10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144</v>
      </c>
      <c r="E1" s="2" t="s">
        <v>148</v>
      </c>
      <c r="F1" s="2" t="s">
        <v>145</v>
      </c>
      <c r="G1" s="2" t="s">
        <v>149</v>
      </c>
      <c r="H1" s="2" t="s">
        <v>150</v>
      </c>
      <c r="I1" s="2" t="s">
        <v>151</v>
      </c>
      <c r="J1" s="2" t="s">
        <v>152</v>
      </c>
    </row>
    <row r="2" spans="1:10" x14ac:dyDescent="0.3">
      <c r="A2" t="s">
        <v>17</v>
      </c>
      <c r="B2" t="s">
        <v>77</v>
      </c>
      <c r="C2" t="s">
        <v>131</v>
      </c>
      <c r="D2">
        <v>21546122</v>
      </c>
      <c r="E2" s="3">
        <v>0.54299583312499999</v>
      </c>
      <c r="F2" t="s">
        <v>146</v>
      </c>
      <c r="G2">
        <v>10532817</v>
      </c>
      <c r="H2">
        <f>SUM(D2:D21)/2</f>
        <v>178221061</v>
      </c>
      <c r="I2">
        <f>SUM(D22:D61)/2</f>
        <v>797502636</v>
      </c>
      <c r="J2">
        <f>H2+I2</f>
        <v>975723697</v>
      </c>
    </row>
    <row r="3" spans="1:10" x14ac:dyDescent="0.3">
      <c r="A3" t="s">
        <v>13</v>
      </c>
      <c r="B3" t="s">
        <v>73</v>
      </c>
      <c r="C3" t="s">
        <v>131</v>
      </c>
      <c r="D3">
        <v>21166830</v>
      </c>
      <c r="E3" s="3">
        <v>0.54299583312499999</v>
      </c>
      <c r="F3" t="s">
        <v>146</v>
      </c>
      <c r="G3">
        <v>10532817</v>
      </c>
      <c r="H3">
        <f>SUM(G2:G21)/2</f>
        <v>84492447</v>
      </c>
      <c r="I3">
        <f>SUM(G22:G61)/2</f>
        <v>295908029</v>
      </c>
      <c r="J3">
        <f>H3+I3</f>
        <v>380400476</v>
      </c>
    </row>
    <row r="4" spans="1:10" x14ac:dyDescent="0.3">
      <c r="A4" t="s">
        <v>22</v>
      </c>
      <c r="B4" t="s">
        <v>82</v>
      </c>
      <c r="C4" t="s">
        <v>132</v>
      </c>
      <c r="D4">
        <v>19519976</v>
      </c>
      <c r="E4" s="3">
        <v>0.95668999990000003</v>
      </c>
      <c r="F4" t="s">
        <v>146</v>
      </c>
      <c r="G4">
        <v>10482657</v>
      </c>
      <c r="H4">
        <f>(H3/H2)*100</f>
        <v>47.408789132952137</v>
      </c>
      <c r="I4">
        <f>(I3/I2)*100</f>
        <v>37.104332404990323</v>
      </c>
      <c r="J4">
        <f>(J3/J2)*100</f>
        <v>38.986495579598497</v>
      </c>
    </row>
    <row r="5" spans="1:10" x14ac:dyDescent="0.3">
      <c r="A5" t="s">
        <v>18</v>
      </c>
      <c r="B5" t="s">
        <v>78</v>
      </c>
      <c r="C5" t="s">
        <v>132</v>
      </c>
      <c r="D5">
        <v>19519976</v>
      </c>
      <c r="E5" s="3">
        <v>0.95668999990000003</v>
      </c>
      <c r="F5" t="s">
        <v>146</v>
      </c>
      <c r="G5">
        <v>10482657</v>
      </c>
    </row>
    <row r="6" spans="1:10" x14ac:dyDescent="0.3">
      <c r="A6" t="s">
        <v>21</v>
      </c>
      <c r="B6" t="s">
        <v>81</v>
      </c>
      <c r="C6" t="s">
        <v>127</v>
      </c>
      <c r="D6">
        <v>15523608</v>
      </c>
      <c r="E6" s="3">
        <v>1.1575966668</v>
      </c>
      <c r="F6" t="s">
        <v>146</v>
      </c>
      <c r="G6">
        <v>8897801</v>
      </c>
    </row>
    <row r="7" spans="1:10" x14ac:dyDescent="0.3">
      <c r="A7" t="s">
        <v>8</v>
      </c>
      <c r="B7" t="s">
        <v>68</v>
      </c>
      <c r="C7" t="s">
        <v>127</v>
      </c>
      <c r="D7">
        <v>15523608</v>
      </c>
      <c r="E7" s="3">
        <v>1.1575966668</v>
      </c>
      <c r="F7" t="s">
        <v>146</v>
      </c>
      <c r="G7">
        <v>8897801</v>
      </c>
    </row>
    <row r="8" spans="1:10" x14ac:dyDescent="0.3">
      <c r="A8" t="s">
        <v>20</v>
      </c>
      <c r="B8" t="s">
        <v>80</v>
      </c>
      <c r="C8" t="s">
        <v>129</v>
      </c>
      <c r="D8">
        <v>16670649</v>
      </c>
      <c r="E8" s="3">
        <v>1.6849766665999999</v>
      </c>
      <c r="F8" t="s">
        <v>146</v>
      </c>
      <c r="G8">
        <v>8791891</v>
      </c>
    </row>
    <row r="9" spans="1:10" x14ac:dyDescent="0.3">
      <c r="A9" t="s">
        <v>11</v>
      </c>
      <c r="B9" t="s">
        <v>71</v>
      </c>
      <c r="C9" t="s">
        <v>129</v>
      </c>
      <c r="D9">
        <v>16670649</v>
      </c>
      <c r="E9" s="3">
        <v>1.6849766665999999</v>
      </c>
      <c r="F9" t="s">
        <v>146</v>
      </c>
      <c r="G9">
        <v>8791891</v>
      </c>
    </row>
    <row r="10" spans="1:10" x14ac:dyDescent="0.3">
      <c r="A10" t="s">
        <v>15</v>
      </c>
      <c r="B10" t="s">
        <v>75</v>
      </c>
      <c r="C10" t="s">
        <v>130</v>
      </c>
      <c r="D10">
        <v>16813545</v>
      </c>
      <c r="E10" s="3">
        <v>2.0616766665999999</v>
      </c>
      <c r="F10" t="s">
        <v>146</v>
      </c>
      <c r="G10">
        <v>9065227</v>
      </c>
    </row>
    <row r="11" spans="1:10" x14ac:dyDescent="0.3">
      <c r="A11" t="s">
        <v>12</v>
      </c>
      <c r="B11" t="s">
        <v>72</v>
      </c>
      <c r="C11" t="s">
        <v>130</v>
      </c>
      <c r="D11">
        <v>16813545</v>
      </c>
      <c r="E11" s="3">
        <v>2.0616766665999999</v>
      </c>
      <c r="F11" t="s">
        <v>146</v>
      </c>
      <c r="G11">
        <v>9065227</v>
      </c>
    </row>
    <row r="12" spans="1:10" x14ac:dyDescent="0.3">
      <c r="A12" t="s">
        <v>5</v>
      </c>
      <c r="B12" t="s">
        <v>65</v>
      </c>
      <c r="C12" t="s">
        <v>125</v>
      </c>
      <c r="D12">
        <v>14282807</v>
      </c>
      <c r="E12" s="3">
        <v>2.3755933330999999</v>
      </c>
      <c r="F12" t="s">
        <v>146</v>
      </c>
      <c r="G12">
        <v>6143819</v>
      </c>
    </row>
    <row r="13" spans="1:10" x14ac:dyDescent="0.3">
      <c r="A13" t="s">
        <v>16</v>
      </c>
      <c r="B13" t="s">
        <v>76</v>
      </c>
      <c r="C13" t="s">
        <v>125</v>
      </c>
      <c r="D13">
        <v>14282807</v>
      </c>
      <c r="E13" s="3">
        <v>2.3755933330999999</v>
      </c>
      <c r="F13" t="s">
        <v>146</v>
      </c>
      <c r="G13">
        <v>6143819</v>
      </c>
    </row>
    <row r="14" spans="1:10" x14ac:dyDescent="0.3">
      <c r="A14" t="s">
        <v>9</v>
      </c>
      <c r="B14" t="s">
        <v>69</v>
      </c>
      <c r="C14" t="s">
        <v>128</v>
      </c>
      <c r="D14">
        <v>19508174</v>
      </c>
      <c r="E14" s="3">
        <v>5.1211111114000003</v>
      </c>
      <c r="F14" t="s">
        <v>146</v>
      </c>
      <c r="G14">
        <v>10969565</v>
      </c>
    </row>
    <row r="15" spans="1:10" x14ac:dyDescent="0.3">
      <c r="A15" t="s">
        <v>10</v>
      </c>
      <c r="B15" t="s">
        <v>70</v>
      </c>
      <c r="C15" t="s">
        <v>128</v>
      </c>
      <c r="D15">
        <v>19508174</v>
      </c>
      <c r="E15" s="3">
        <v>5.1211111114000003</v>
      </c>
      <c r="F15" t="s">
        <v>146</v>
      </c>
      <c r="G15">
        <v>10969565</v>
      </c>
    </row>
    <row r="16" spans="1:10" x14ac:dyDescent="0.3">
      <c r="A16" t="s">
        <v>6</v>
      </c>
      <c r="B16" t="s">
        <v>66</v>
      </c>
      <c r="C16" t="s">
        <v>126</v>
      </c>
      <c r="D16">
        <v>17047087</v>
      </c>
      <c r="E16" s="3">
        <v>5.6733333333999996</v>
      </c>
      <c r="F16" t="s">
        <v>146</v>
      </c>
      <c r="G16">
        <v>8783090</v>
      </c>
    </row>
    <row r="17" spans="1:7" x14ac:dyDescent="0.3">
      <c r="A17" t="s">
        <v>19</v>
      </c>
      <c r="B17" t="s">
        <v>79</v>
      </c>
      <c r="C17" t="s">
        <v>126</v>
      </c>
      <c r="D17">
        <v>17047087</v>
      </c>
      <c r="E17" s="3">
        <v>5.6733333333999996</v>
      </c>
      <c r="F17" t="s">
        <v>146</v>
      </c>
      <c r="G17">
        <v>8783090</v>
      </c>
    </row>
    <row r="18" spans="1:7" x14ac:dyDescent="0.3">
      <c r="A18" t="s">
        <v>4</v>
      </c>
      <c r="B18" t="s">
        <v>64</v>
      </c>
      <c r="C18" t="s">
        <v>124</v>
      </c>
      <c r="D18">
        <v>16452761</v>
      </c>
      <c r="E18" s="3">
        <v>9.1926956517999994</v>
      </c>
      <c r="F18" t="s">
        <v>146</v>
      </c>
      <c r="G18">
        <v>8413049</v>
      </c>
    </row>
    <row r="19" spans="1:7" x14ac:dyDescent="0.3">
      <c r="A19" t="s">
        <v>14</v>
      </c>
      <c r="B19" t="s">
        <v>74</v>
      </c>
      <c r="C19" t="s">
        <v>124</v>
      </c>
      <c r="D19">
        <v>16452761</v>
      </c>
      <c r="E19" s="3">
        <v>9.1926956517999994</v>
      </c>
      <c r="F19" t="s">
        <v>146</v>
      </c>
      <c r="G19">
        <v>8413049</v>
      </c>
    </row>
    <row r="20" spans="1:7" x14ac:dyDescent="0.3">
      <c r="A20" t="s">
        <v>3</v>
      </c>
      <c r="B20" t="s">
        <v>63</v>
      </c>
      <c r="C20" t="s">
        <v>123</v>
      </c>
      <c r="D20">
        <v>21045978</v>
      </c>
      <c r="E20" s="3">
        <v>18.032804976210947</v>
      </c>
      <c r="F20" t="s">
        <v>146</v>
      </c>
      <c r="G20">
        <v>2412531</v>
      </c>
    </row>
    <row r="21" spans="1:7" x14ac:dyDescent="0.3">
      <c r="A21" t="s">
        <v>7</v>
      </c>
      <c r="B21" t="s">
        <v>67</v>
      </c>
      <c r="C21" t="s">
        <v>123</v>
      </c>
      <c r="D21">
        <v>21045978</v>
      </c>
      <c r="E21" s="3">
        <v>18.032804976210947</v>
      </c>
      <c r="F21" t="s">
        <v>146</v>
      </c>
      <c r="G21">
        <v>2412531</v>
      </c>
    </row>
    <row r="22" spans="1:7" x14ac:dyDescent="0.3">
      <c r="A22" t="s">
        <v>28</v>
      </c>
      <c r="B22" t="s">
        <v>88</v>
      </c>
      <c r="C22" t="s">
        <v>131</v>
      </c>
      <c r="D22">
        <v>41420944</v>
      </c>
      <c r="E22" s="3">
        <v>0.54299583312499999</v>
      </c>
      <c r="F22" t="s">
        <v>147</v>
      </c>
      <c r="G22">
        <v>21796192</v>
      </c>
    </row>
    <row r="23" spans="1:7" x14ac:dyDescent="0.3">
      <c r="A23" t="s">
        <v>33</v>
      </c>
      <c r="B23" t="s">
        <v>93</v>
      </c>
      <c r="C23" t="s">
        <v>131</v>
      </c>
      <c r="D23">
        <v>41420944</v>
      </c>
      <c r="E23" s="3">
        <v>0.54299583312499999</v>
      </c>
      <c r="F23" t="s">
        <v>147</v>
      </c>
      <c r="G23">
        <v>21796192</v>
      </c>
    </row>
    <row r="24" spans="1:7" x14ac:dyDescent="0.3">
      <c r="A24" t="s">
        <v>35</v>
      </c>
      <c r="B24" t="s">
        <v>95</v>
      </c>
      <c r="C24" t="s">
        <v>132</v>
      </c>
      <c r="D24">
        <v>36723930</v>
      </c>
      <c r="E24" s="3">
        <v>0.95668999990000003</v>
      </c>
      <c r="F24" t="s">
        <v>147</v>
      </c>
      <c r="G24">
        <v>19280191</v>
      </c>
    </row>
    <row r="25" spans="1:7" x14ac:dyDescent="0.3">
      <c r="A25" t="s">
        <v>57</v>
      </c>
      <c r="B25" t="s">
        <v>117</v>
      </c>
      <c r="C25" t="s">
        <v>132</v>
      </c>
      <c r="D25">
        <v>36723930</v>
      </c>
      <c r="E25" s="3">
        <v>0.95668999990000003</v>
      </c>
      <c r="F25" t="s">
        <v>147</v>
      </c>
      <c r="G25">
        <v>19280191</v>
      </c>
    </row>
    <row r="26" spans="1:7" x14ac:dyDescent="0.3">
      <c r="A26" t="s">
        <v>44</v>
      </c>
      <c r="B26" t="s">
        <v>104</v>
      </c>
      <c r="C26" t="s">
        <v>127</v>
      </c>
      <c r="D26">
        <v>43013687</v>
      </c>
      <c r="E26" s="4">
        <v>1.1575966668</v>
      </c>
      <c r="F26" t="s">
        <v>147</v>
      </c>
      <c r="G26">
        <v>24480922</v>
      </c>
    </row>
    <row r="27" spans="1:7" x14ac:dyDescent="0.3">
      <c r="A27" t="s">
        <v>29</v>
      </c>
      <c r="B27" t="s">
        <v>89</v>
      </c>
      <c r="C27" t="s">
        <v>127</v>
      </c>
      <c r="D27">
        <v>43013687</v>
      </c>
      <c r="E27" s="4">
        <v>1.1575966668</v>
      </c>
      <c r="F27" t="s">
        <v>147</v>
      </c>
      <c r="G27">
        <v>24480922</v>
      </c>
    </row>
    <row r="28" spans="1:7" x14ac:dyDescent="0.3">
      <c r="A28" t="s">
        <v>53</v>
      </c>
      <c r="B28" t="s">
        <v>113</v>
      </c>
      <c r="C28" t="s">
        <v>129</v>
      </c>
      <c r="D28">
        <v>41374606</v>
      </c>
      <c r="E28" s="4">
        <v>1.6849766665999999</v>
      </c>
      <c r="F28" t="s">
        <v>147</v>
      </c>
      <c r="G28">
        <v>23034931</v>
      </c>
    </row>
    <row r="29" spans="1:7" x14ac:dyDescent="0.3">
      <c r="A29" t="s">
        <v>47</v>
      </c>
      <c r="B29" t="s">
        <v>107</v>
      </c>
      <c r="C29" t="s">
        <v>129</v>
      </c>
      <c r="D29">
        <v>41374606</v>
      </c>
      <c r="E29" s="4">
        <v>1.6849766665999999</v>
      </c>
      <c r="F29" t="s">
        <v>147</v>
      </c>
      <c r="G29">
        <v>23034931</v>
      </c>
    </row>
    <row r="30" spans="1:7" x14ac:dyDescent="0.3">
      <c r="A30" t="s">
        <v>42</v>
      </c>
      <c r="B30" t="s">
        <v>102</v>
      </c>
      <c r="C30" t="s">
        <v>130</v>
      </c>
      <c r="D30">
        <v>41744399</v>
      </c>
      <c r="E30" s="4">
        <v>2.0616766665999999</v>
      </c>
      <c r="F30" t="s">
        <v>147</v>
      </c>
      <c r="G30">
        <v>21088681</v>
      </c>
    </row>
    <row r="31" spans="1:7" x14ac:dyDescent="0.3">
      <c r="A31" t="s">
        <v>40</v>
      </c>
      <c r="B31" t="s">
        <v>100</v>
      </c>
      <c r="C31" t="s">
        <v>130</v>
      </c>
      <c r="D31">
        <v>41744399</v>
      </c>
      <c r="E31" s="4">
        <v>2.0616766665999999</v>
      </c>
      <c r="F31" t="s">
        <v>147</v>
      </c>
      <c r="G31">
        <v>21088681</v>
      </c>
    </row>
    <row r="32" spans="1:7" x14ac:dyDescent="0.3">
      <c r="A32" t="s">
        <v>54</v>
      </c>
      <c r="B32" t="s">
        <v>114</v>
      </c>
      <c r="C32" t="s">
        <v>125</v>
      </c>
      <c r="D32">
        <v>44921057</v>
      </c>
      <c r="E32" s="4">
        <v>2.3755933330999999</v>
      </c>
      <c r="F32" t="s">
        <v>147</v>
      </c>
      <c r="G32">
        <v>22190648</v>
      </c>
    </row>
    <row r="33" spans="1:7" x14ac:dyDescent="0.3">
      <c r="A33" t="s">
        <v>61</v>
      </c>
      <c r="B33" t="s">
        <v>121</v>
      </c>
      <c r="C33" t="s">
        <v>125</v>
      </c>
      <c r="D33">
        <v>44921057</v>
      </c>
      <c r="E33" s="4">
        <v>2.3755933330999999</v>
      </c>
      <c r="F33" t="s">
        <v>147</v>
      </c>
      <c r="G33">
        <v>22190648</v>
      </c>
    </row>
    <row r="34" spans="1:7" x14ac:dyDescent="0.3">
      <c r="A34" t="s">
        <v>45</v>
      </c>
      <c r="B34" t="s">
        <v>105</v>
      </c>
      <c r="C34" t="s">
        <v>128</v>
      </c>
      <c r="D34">
        <v>54222269</v>
      </c>
      <c r="E34" s="4">
        <v>5.1211111114000003</v>
      </c>
      <c r="F34" t="s">
        <v>147</v>
      </c>
      <c r="G34">
        <v>18891838</v>
      </c>
    </row>
    <row r="35" spans="1:7" x14ac:dyDescent="0.3">
      <c r="A35" t="s">
        <v>39</v>
      </c>
      <c r="B35" t="s">
        <v>99</v>
      </c>
      <c r="C35" t="s">
        <v>128</v>
      </c>
      <c r="D35">
        <v>54222269</v>
      </c>
      <c r="E35" s="4">
        <v>5.1211111114000003</v>
      </c>
      <c r="F35" t="s">
        <v>147</v>
      </c>
      <c r="G35">
        <v>18891838</v>
      </c>
    </row>
    <row r="36" spans="1:7" x14ac:dyDescent="0.3">
      <c r="A36" t="s">
        <v>36</v>
      </c>
      <c r="B36" t="s">
        <v>96</v>
      </c>
      <c r="C36" t="s">
        <v>126</v>
      </c>
      <c r="D36">
        <v>54514669</v>
      </c>
      <c r="E36" s="4">
        <v>5.6733333333999996</v>
      </c>
      <c r="F36" t="s">
        <v>147</v>
      </c>
      <c r="G36">
        <v>20177610</v>
      </c>
    </row>
    <row r="37" spans="1:7" x14ac:dyDescent="0.3">
      <c r="A37" t="s">
        <v>30</v>
      </c>
      <c r="B37" t="s">
        <v>90</v>
      </c>
      <c r="C37" t="s">
        <v>126</v>
      </c>
      <c r="D37">
        <v>54514669</v>
      </c>
      <c r="E37" s="4">
        <v>5.6733333333999996</v>
      </c>
      <c r="F37" t="s">
        <v>147</v>
      </c>
      <c r="G37">
        <v>20177610</v>
      </c>
    </row>
    <row r="38" spans="1:7" x14ac:dyDescent="0.3">
      <c r="A38" t="s">
        <v>56</v>
      </c>
      <c r="B38" t="s">
        <v>116</v>
      </c>
      <c r="C38" t="s">
        <v>124</v>
      </c>
      <c r="D38">
        <v>54347888</v>
      </c>
      <c r="E38" s="4">
        <v>9.1926956517999994</v>
      </c>
      <c r="F38" t="s">
        <v>147</v>
      </c>
      <c r="G38">
        <v>15003989</v>
      </c>
    </row>
    <row r="39" spans="1:7" x14ac:dyDescent="0.3">
      <c r="A39" t="s">
        <v>62</v>
      </c>
      <c r="B39" t="s">
        <v>122</v>
      </c>
      <c r="C39" t="s">
        <v>124</v>
      </c>
      <c r="D39">
        <v>54347888</v>
      </c>
      <c r="E39" s="4">
        <v>9.1926956517999994</v>
      </c>
      <c r="F39" t="s">
        <v>147</v>
      </c>
      <c r="G39">
        <v>15003989</v>
      </c>
    </row>
    <row r="40" spans="1:7" x14ac:dyDescent="0.3">
      <c r="A40" t="s">
        <v>60</v>
      </c>
      <c r="B40" t="s">
        <v>120</v>
      </c>
      <c r="C40" t="s">
        <v>123</v>
      </c>
      <c r="D40">
        <v>54468462</v>
      </c>
      <c r="E40" s="4">
        <v>18.032804976210947</v>
      </c>
      <c r="F40" t="s">
        <v>147</v>
      </c>
      <c r="G40">
        <v>949404</v>
      </c>
    </row>
    <row r="41" spans="1:7" x14ac:dyDescent="0.3">
      <c r="A41" t="s">
        <v>46</v>
      </c>
      <c r="B41" t="s">
        <v>106</v>
      </c>
      <c r="C41" t="s">
        <v>123</v>
      </c>
      <c r="D41">
        <v>54468462</v>
      </c>
      <c r="E41" s="4">
        <v>18.032804976210947</v>
      </c>
      <c r="F41" t="s">
        <v>147</v>
      </c>
      <c r="G41">
        <v>949404</v>
      </c>
    </row>
    <row r="42" spans="1:7" x14ac:dyDescent="0.3">
      <c r="A42" t="s">
        <v>43</v>
      </c>
      <c r="B42" t="s">
        <v>103</v>
      </c>
      <c r="C42" t="s">
        <v>139</v>
      </c>
      <c r="D42">
        <v>22304647</v>
      </c>
      <c r="E42" s="3">
        <v>2.6895099997999998</v>
      </c>
      <c r="F42" t="s">
        <v>147</v>
      </c>
      <c r="G42">
        <v>10560585</v>
      </c>
    </row>
    <row r="43" spans="1:7" x14ac:dyDescent="0.3">
      <c r="A43" t="s">
        <v>37</v>
      </c>
      <c r="B43" t="s">
        <v>97</v>
      </c>
      <c r="C43" t="s">
        <v>139</v>
      </c>
      <c r="D43">
        <v>22304647</v>
      </c>
      <c r="E43" s="3">
        <v>2.6895099997999998</v>
      </c>
      <c r="F43" t="s">
        <v>147</v>
      </c>
      <c r="G43">
        <v>10560585</v>
      </c>
    </row>
    <row r="44" spans="1:7" x14ac:dyDescent="0.3">
      <c r="A44" t="s">
        <v>55</v>
      </c>
      <c r="B44" t="s">
        <v>115</v>
      </c>
      <c r="C44" t="s">
        <v>141</v>
      </c>
      <c r="D44">
        <v>25123595</v>
      </c>
      <c r="E44" s="3">
        <v>4.2339799997999998</v>
      </c>
      <c r="F44" t="s">
        <v>147</v>
      </c>
      <c r="G44">
        <v>10124600</v>
      </c>
    </row>
    <row r="45" spans="1:7" x14ac:dyDescent="0.3">
      <c r="A45" t="s">
        <v>50</v>
      </c>
      <c r="B45" t="s">
        <v>110</v>
      </c>
      <c r="C45" t="s">
        <v>141</v>
      </c>
      <c r="D45">
        <v>25123595</v>
      </c>
      <c r="E45" s="3">
        <v>4.2339799997999998</v>
      </c>
      <c r="F45" t="s">
        <v>147</v>
      </c>
      <c r="G45">
        <v>10124600</v>
      </c>
    </row>
    <row r="46" spans="1:7" x14ac:dyDescent="0.3">
      <c r="A46" t="s">
        <v>59</v>
      </c>
      <c r="B46" t="s">
        <v>119</v>
      </c>
      <c r="C46" t="s">
        <v>137</v>
      </c>
      <c r="D46">
        <v>12389236</v>
      </c>
      <c r="E46" s="4">
        <v>4.5066666666000001</v>
      </c>
      <c r="F46" t="s">
        <v>147</v>
      </c>
      <c r="G46">
        <v>4596326</v>
      </c>
    </row>
    <row r="47" spans="1:7" x14ac:dyDescent="0.3">
      <c r="A47" t="s">
        <v>31</v>
      </c>
      <c r="B47" t="s">
        <v>91</v>
      </c>
      <c r="C47" t="s">
        <v>137</v>
      </c>
      <c r="D47">
        <v>12389236</v>
      </c>
      <c r="E47" s="4">
        <v>4.5066666666000001</v>
      </c>
      <c r="F47" t="s">
        <v>147</v>
      </c>
      <c r="G47">
        <v>4596326</v>
      </c>
    </row>
    <row r="48" spans="1:7" x14ac:dyDescent="0.3">
      <c r="A48" t="s">
        <v>24</v>
      </c>
      <c r="B48" t="s">
        <v>84</v>
      </c>
      <c r="C48" t="s">
        <v>134</v>
      </c>
      <c r="D48">
        <v>44281407</v>
      </c>
      <c r="E48" s="3">
        <v>4.7011111109000003</v>
      </c>
      <c r="F48" t="s">
        <v>147</v>
      </c>
      <c r="G48">
        <v>17508554</v>
      </c>
    </row>
    <row r="49" spans="1:7" x14ac:dyDescent="0.3">
      <c r="A49" t="s">
        <v>48</v>
      </c>
      <c r="B49" t="s">
        <v>108</v>
      </c>
      <c r="C49" t="s">
        <v>134</v>
      </c>
      <c r="D49">
        <v>44281407</v>
      </c>
      <c r="E49" s="3">
        <v>4.7011111109000003</v>
      </c>
      <c r="F49" t="s">
        <v>147</v>
      </c>
      <c r="G49">
        <v>17508554</v>
      </c>
    </row>
    <row r="50" spans="1:7" x14ac:dyDescent="0.3">
      <c r="A50" t="s">
        <v>25</v>
      </c>
      <c r="B50" t="s">
        <v>85</v>
      </c>
      <c r="C50" t="s">
        <v>135</v>
      </c>
      <c r="D50">
        <v>24142205</v>
      </c>
      <c r="E50" s="3">
        <v>5.261111111</v>
      </c>
      <c r="F50" t="s">
        <v>147</v>
      </c>
      <c r="G50">
        <v>8204424</v>
      </c>
    </row>
    <row r="51" spans="1:7" x14ac:dyDescent="0.3">
      <c r="A51" t="s">
        <v>49</v>
      </c>
      <c r="B51" t="s">
        <v>109</v>
      </c>
      <c r="C51" t="s">
        <v>135</v>
      </c>
      <c r="D51">
        <v>24142205</v>
      </c>
      <c r="E51" s="3">
        <v>5.261111111</v>
      </c>
      <c r="F51" t="s">
        <v>147</v>
      </c>
      <c r="G51">
        <v>8204424</v>
      </c>
    </row>
    <row r="52" spans="1:7" x14ac:dyDescent="0.3">
      <c r="A52" t="s">
        <v>27</v>
      </c>
      <c r="B52" t="s">
        <v>87</v>
      </c>
      <c r="C52" t="s">
        <v>136</v>
      </c>
      <c r="D52">
        <v>43211813</v>
      </c>
      <c r="E52" s="3">
        <v>7.0441739131999999</v>
      </c>
      <c r="F52" t="s">
        <v>147</v>
      </c>
      <c r="G52">
        <v>19217244</v>
      </c>
    </row>
    <row r="53" spans="1:7" x14ac:dyDescent="0.3">
      <c r="A53" t="s">
        <v>34</v>
      </c>
      <c r="B53" t="s">
        <v>94</v>
      </c>
      <c r="C53" t="s">
        <v>136</v>
      </c>
      <c r="D53">
        <v>43211813</v>
      </c>
      <c r="E53" s="3">
        <v>7.0441739131999999</v>
      </c>
      <c r="F53" t="s">
        <v>147</v>
      </c>
      <c r="G53">
        <v>19217244</v>
      </c>
    </row>
    <row r="54" spans="1:7" x14ac:dyDescent="0.3">
      <c r="A54" t="s">
        <v>58</v>
      </c>
      <c r="B54" t="s">
        <v>118</v>
      </c>
      <c r="C54" t="s">
        <v>138</v>
      </c>
      <c r="D54">
        <v>46371919</v>
      </c>
      <c r="E54" s="3">
        <v>7.9520000002</v>
      </c>
      <c r="F54" t="s">
        <v>147</v>
      </c>
      <c r="G54">
        <v>18808730</v>
      </c>
    </row>
    <row r="55" spans="1:7" x14ac:dyDescent="0.3">
      <c r="A55" t="s">
        <v>32</v>
      </c>
      <c r="B55" t="s">
        <v>92</v>
      </c>
      <c r="C55" t="s">
        <v>138</v>
      </c>
      <c r="D55">
        <v>46371919</v>
      </c>
      <c r="E55" s="3">
        <v>7.9520000002</v>
      </c>
      <c r="F55" t="s">
        <v>147</v>
      </c>
      <c r="G55">
        <v>18808730</v>
      </c>
    </row>
    <row r="56" spans="1:7" x14ac:dyDescent="0.3">
      <c r="A56" t="s">
        <v>26</v>
      </c>
      <c r="B56" t="s">
        <v>86</v>
      </c>
      <c r="C56" t="s">
        <v>133</v>
      </c>
      <c r="D56">
        <v>26585111</v>
      </c>
      <c r="E56" s="3">
        <v>10.22156522</v>
      </c>
      <c r="F56" t="s">
        <v>147</v>
      </c>
      <c r="G56">
        <v>10357083</v>
      </c>
    </row>
    <row r="57" spans="1:7" x14ac:dyDescent="0.3">
      <c r="A57" t="s">
        <v>23</v>
      </c>
      <c r="B57" t="s">
        <v>83</v>
      </c>
      <c r="C57" t="s">
        <v>133</v>
      </c>
      <c r="D57">
        <v>26585111</v>
      </c>
      <c r="E57" s="3">
        <v>10.22156522</v>
      </c>
      <c r="F57" t="s">
        <v>147</v>
      </c>
      <c r="G57">
        <v>10357083</v>
      </c>
    </row>
    <row r="58" spans="1:7" x14ac:dyDescent="0.3">
      <c r="A58" t="s">
        <v>38</v>
      </c>
      <c r="B58" t="s">
        <v>98</v>
      </c>
      <c r="C58" t="s">
        <v>140</v>
      </c>
      <c r="D58">
        <v>33158322</v>
      </c>
      <c r="E58" s="3">
        <v>15.8500869585549</v>
      </c>
      <c r="F58" t="s">
        <v>147</v>
      </c>
      <c r="G58">
        <v>7024583</v>
      </c>
    </row>
    <row r="59" spans="1:7" x14ac:dyDescent="0.3">
      <c r="A59" t="s">
        <v>41</v>
      </c>
      <c r="B59" t="s">
        <v>101</v>
      </c>
      <c r="C59" t="s">
        <v>140</v>
      </c>
      <c r="D59">
        <v>33158322</v>
      </c>
      <c r="E59" s="3">
        <v>15.8500869585549</v>
      </c>
      <c r="F59" t="s">
        <v>147</v>
      </c>
      <c r="G59">
        <v>7024583</v>
      </c>
    </row>
    <row r="60" spans="1:7" x14ac:dyDescent="0.3">
      <c r="A60" t="s">
        <v>51</v>
      </c>
      <c r="B60" t="s">
        <v>111</v>
      </c>
      <c r="C60" t="s">
        <v>142</v>
      </c>
      <c r="D60">
        <v>53182470</v>
      </c>
      <c r="E60" s="3">
        <v>17.488663357866024</v>
      </c>
      <c r="F60" t="s">
        <v>147</v>
      </c>
      <c r="G60">
        <v>2611494</v>
      </c>
    </row>
    <row r="61" spans="1:7" x14ac:dyDescent="0.3">
      <c r="A61" t="s">
        <v>52</v>
      </c>
      <c r="B61" t="s">
        <v>112</v>
      </c>
      <c r="C61" t="s">
        <v>142</v>
      </c>
      <c r="D61">
        <v>53182470</v>
      </c>
      <c r="E61" s="3">
        <v>17.488663357866024</v>
      </c>
      <c r="F61" t="s">
        <v>147</v>
      </c>
      <c r="G61">
        <v>2611494</v>
      </c>
    </row>
  </sheetData>
  <sortState xmlns:xlrd2="http://schemas.microsoft.com/office/spreadsheetml/2017/richdata2" ref="A2:H61">
    <sortCondition ref="F1:F61"/>
  </sortState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2" sqref="B2"/>
    </sheetView>
  </sheetViews>
  <sheetFormatPr defaultRowHeight="14.4" x14ac:dyDescent="0.3"/>
  <cols>
    <col min="1" max="1" width="18.88671875" customWidth="1"/>
    <col min="2" max="2" width="10.44140625" bestFit="1" customWidth="1"/>
  </cols>
  <sheetData>
    <row r="1" spans="1:2" x14ac:dyDescent="0.3">
      <c r="A1" s="1" t="s">
        <v>2</v>
      </c>
      <c r="B1" s="1" t="s">
        <v>143</v>
      </c>
    </row>
    <row r="2" spans="1:2" x14ac:dyDescent="0.3">
      <c r="A2" t="s">
        <v>131</v>
      </c>
      <c r="B2">
        <v>125554840</v>
      </c>
    </row>
    <row r="3" spans="1:2" x14ac:dyDescent="0.3">
      <c r="A3" t="s">
        <v>132</v>
      </c>
      <c r="B3">
        <v>112487812</v>
      </c>
    </row>
    <row r="4" spans="1:2" x14ac:dyDescent="0.3">
      <c r="A4" t="s">
        <v>127</v>
      </c>
      <c r="B4">
        <v>117074590</v>
      </c>
    </row>
    <row r="5" spans="1:2" x14ac:dyDescent="0.3">
      <c r="A5" t="s">
        <v>129</v>
      </c>
      <c r="B5">
        <v>116090510</v>
      </c>
    </row>
    <row r="6" spans="1:2" x14ac:dyDescent="0.3">
      <c r="A6" t="s">
        <v>130</v>
      </c>
      <c r="B6">
        <v>117115888</v>
      </c>
    </row>
    <row r="7" spans="1:2" x14ac:dyDescent="0.3">
      <c r="A7" t="s">
        <v>125</v>
      </c>
      <c r="B7">
        <v>118407728</v>
      </c>
    </row>
    <row r="8" spans="1:2" x14ac:dyDescent="0.3">
      <c r="A8" t="s">
        <v>128</v>
      </c>
      <c r="B8">
        <v>147460886</v>
      </c>
    </row>
    <row r="9" spans="1:2" x14ac:dyDescent="0.3">
      <c r="A9" t="s">
        <v>126</v>
      </c>
      <c r="B9">
        <v>143123512</v>
      </c>
    </row>
    <row r="10" spans="1:2" x14ac:dyDescent="0.3">
      <c r="A10" t="s">
        <v>124</v>
      </c>
      <c r="B10">
        <v>141601298</v>
      </c>
    </row>
    <row r="11" spans="1:2" x14ac:dyDescent="0.3">
      <c r="A11" t="s">
        <v>123</v>
      </c>
      <c r="B11">
        <v>151028880</v>
      </c>
    </row>
    <row r="12" spans="1:2" x14ac:dyDescent="0.3">
      <c r="A12" t="s">
        <v>139</v>
      </c>
      <c r="B12">
        <v>44609294</v>
      </c>
    </row>
    <row r="13" spans="1:2" x14ac:dyDescent="0.3">
      <c r="A13" t="s">
        <v>141</v>
      </c>
      <c r="B13">
        <v>50247190</v>
      </c>
    </row>
    <row r="14" spans="1:2" x14ac:dyDescent="0.3">
      <c r="A14" t="s">
        <v>137</v>
      </c>
      <c r="B14">
        <v>24778472</v>
      </c>
    </row>
    <row r="15" spans="1:2" x14ac:dyDescent="0.3">
      <c r="A15" t="s">
        <v>134</v>
      </c>
      <c r="B15">
        <v>88562814</v>
      </c>
    </row>
    <row r="16" spans="1:2" x14ac:dyDescent="0.3">
      <c r="A16" t="s">
        <v>135</v>
      </c>
      <c r="B16">
        <v>48284410</v>
      </c>
    </row>
    <row r="17" spans="1:2" x14ac:dyDescent="0.3">
      <c r="A17" t="s">
        <v>136</v>
      </c>
      <c r="B17">
        <v>86423626</v>
      </c>
    </row>
    <row r="18" spans="1:2" x14ac:dyDescent="0.3">
      <c r="A18" t="s">
        <v>138</v>
      </c>
      <c r="B18">
        <v>92743838</v>
      </c>
    </row>
    <row r="19" spans="1:2" x14ac:dyDescent="0.3">
      <c r="A19" t="s">
        <v>133</v>
      </c>
      <c r="B19">
        <v>53170222</v>
      </c>
    </row>
    <row r="20" spans="1:2" x14ac:dyDescent="0.3">
      <c r="A20" t="s">
        <v>140</v>
      </c>
      <c r="B20">
        <v>66316644</v>
      </c>
    </row>
    <row r="21" spans="1:2" x14ac:dyDescent="0.3">
      <c r="A21" t="s">
        <v>142</v>
      </c>
      <c r="B21">
        <v>106364940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summary_per_sample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Lasse Frøslev Hoppe</cp:lastModifiedBy>
  <dcterms:created xsi:type="dcterms:W3CDTF">2025-11-24T09:51:00Z</dcterms:created>
  <dcterms:modified xsi:type="dcterms:W3CDTF">2026-04-08T17:47:02Z</dcterms:modified>
</cp:coreProperties>
</file>